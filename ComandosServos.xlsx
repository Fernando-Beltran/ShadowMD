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\R2D2\ShadowMDLite\"/>
    </mc:Choice>
  </mc:AlternateContent>
  <xr:revisionPtr revIDLastSave="0" documentId="8_{B6EAE46D-0C6A-438B-89C9-36D25A583037}" xr6:coauthVersionLast="47" xr6:coauthVersionMax="47" xr10:uidLastSave="{00000000-0000-0000-0000-000000000000}"/>
  <bookViews>
    <workbookView xWindow="-120" yWindow="-120" windowWidth="29040" windowHeight="15840" xr2:uid="{31FB0D63-7E21-4949-8531-26ABA58C15A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" i="1" l="1"/>
  <c r="H18" i="1"/>
  <c r="I16" i="1"/>
  <c r="I17" i="1"/>
  <c r="H16" i="1"/>
  <c r="I19" i="1"/>
  <c r="H19" i="1"/>
  <c r="G19" i="1"/>
  <c r="F19" i="1"/>
  <c r="G18" i="1"/>
  <c r="F18" i="1"/>
  <c r="G17" i="1"/>
  <c r="F17" i="1"/>
  <c r="H1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G16" i="1"/>
  <c r="F16" i="1"/>
  <c r="H24" i="1"/>
  <c r="I24" i="1"/>
  <c r="H25" i="1"/>
  <c r="I25" i="1"/>
  <c r="H26" i="1"/>
  <c r="I26" i="1"/>
  <c r="H27" i="1"/>
  <c r="I27" i="1"/>
  <c r="F2" i="1"/>
  <c r="G2" i="1"/>
  <c r="G27" i="1"/>
  <c r="G25" i="1"/>
  <c r="G26" i="1"/>
  <c r="G24" i="1"/>
  <c r="F25" i="1"/>
  <c r="F26" i="1"/>
  <c r="F27" i="1"/>
  <c r="F24" i="1"/>
  <c r="F3" i="1"/>
  <c r="G13" i="1"/>
  <c r="F13" i="1"/>
  <c r="G3" i="1"/>
  <c r="G4" i="1"/>
  <c r="G5" i="1"/>
  <c r="G6" i="1"/>
  <c r="G7" i="1"/>
  <c r="G8" i="1"/>
  <c r="G9" i="1"/>
  <c r="G10" i="1"/>
  <c r="G11" i="1"/>
  <c r="G12" i="1"/>
  <c r="F4" i="1"/>
  <c r="F5" i="1"/>
  <c r="F6" i="1"/>
  <c r="F7" i="1"/>
  <c r="F8" i="1"/>
  <c r="F9" i="1"/>
  <c r="F10" i="1"/>
  <c r="F11" i="1"/>
  <c r="F12" i="1"/>
</calcChain>
</file>

<file path=xl/sharedStrings.xml><?xml version="1.0" encoding="utf-8"?>
<sst xmlns="http://schemas.openxmlformats.org/spreadsheetml/2006/main" count="97" uniqueCount="60">
  <si>
    <t>DPL – DataPanel Door</t>
  </si>
  <si>
    <t>Servo 2</t>
  </si>
  <si>
    <t>UtlArmU – Upper Utility Arm</t>
  </si>
  <si>
    <t>Servo 3</t>
  </si>
  <si>
    <t>UtlArmL – Lower Utility Arm</t>
  </si>
  <si>
    <t>Servo 4</t>
  </si>
  <si>
    <t>LBdyDr – Left BreadPan Door</t>
  </si>
  <si>
    <t>Servo 5</t>
  </si>
  <si>
    <t>LArm – Left Arm Raise/Lower</t>
  </si>
  <si>
    <t>Servo 6</t>
  </si>
  <si>
    <t>LArmTool – Left Arm Tool</t>
  </si>
  <si>
    <t>Servo 7</t>
  </si>
  <si>
    <t>ToolRBdyDr – Right BreadPan Door</t>
  </si>
  <si>
    <t>Servo 8</t>
  </si>
  <si>
    <t>RArm – Right Arm Raise/Lower</t>
  </si>
  <si>
    <t>Servo 9</t>
  </si>
  <si>
    <t>RArmTool – Right Arm Tool</t>
  </si>
  <si>
    <t>Servo 10</t>
  </si>
  <si>
    <t>Charge Bay Door</t>
  </si>
  <si>
    <t>Servo 11</t>
  </si>
  <si>
    <t>unused</t>
  </si>
  <si>
    <t>AUX</t>
  </si>
  <si>
    <t>Function</t>
  </si>
  <si>
    <t>Servo 1</t>
  </si>
  <si>
    <t>Abierto</t>
  </si>
  <si>
    <t>Cerrado</t>
  </si>
  <si>
    <t>Comando Open</t>
  </si>
  <si>
    <t>Comando Closed</t>
  </si>
  <si>
    <t>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</si>
  <si>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</si>
  <si>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</si>
  <si>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</si>
  <si>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</si>
  <si>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</si>
  <si>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</si>
  <si>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</si>
  <si>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</si>
  <si>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</si>
  <si>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</si>
  <si>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</si>
  <si>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Front Holo, V-Servo</t>
  </si>
  <si>
    <t>Front Holo, H-Servo</t>
  </si>
  <si>
    <t>Rear Holo, V-Servo</t>
  </si>
  <si>
    <t>Rear Holo, H-Servo</t>
  </si>
  <si>
    <t>Dome Slave</t>
  </si>
  <si>
    <t>Min</t>
  </si>
  <si>
    <t>Max</t>
  </si>
  <si>
    <t>Dome master</t>
  </si>
  <si>
    <t xml:space="preserve"> Bad Motivator 07</t>
  </si>
  <si>
    <t>Zapper 08</t>
  </si>
  <si>
    <t>Light Saber 09</t>
  </si>
  <si>
    <t>Lifeform 10</t>
  </si>
  <si>
    <t>Servo 07</t>
  </si>
  <si>
    <t>Servo 08</t>
  </si>
  <si>
    <t>Servo 09</t>
  </si>
  <si>
    <t>Body master</t>
  </si>
  <si>
    <t>Dome slave</t>
  </si>
  <si>
    <t>Comando  Open</t>
  </si>
  <si>
    <t>Comando Open Config</t>
  </si>
  <si>
    <t>Comando Closed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</si>
</sst>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0000"/>
      <name val="Roboto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CFCF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49" fontId="0" fillId="0" borderId="2" xfId="0" applyNumberFormat="1" applyBorder="1" applyAlignment="1">
      <alignment horizontal="center"/>
    </xf>
    <xf numFmtId="0" fontId="0" fillId="0" borderId="0" xfId="0" applyFont="1"/>
    <xf numFmtId="49" fontId="0" fillId="0" borderId="2" xfId="0" applyNumberFormat="1" applyFont="1" applyBorder="1" applyAlignment="1">
      <alignment horizontal="center"/>
    </xf>
    <xf numFmtId="0" fontId="1" fillId="2" borderId="2" xfId="1" applyBorder="1" applyAlignment="1">
      <alignment horizontal="center" vertical="center" wrapText="1"/>
    </xf>
    <xf numFmtId="0" fontId="3" fillId="4" borderId="2" xfId="3" applyBorder="1" applyAlignment="1">
      <alignment horizontal="center" vertical="center" wrapText="1"/>
    </xf>
    <xf numFmtId="0" fontId="3" fillId="4" borderId="2" xfId="3" applyBorder="1"/>
    <xf numFmtId="0" fontId="2" fillId="3" borderId="2" xfId="2" applyBorder="1" applyAlignment="1">
      <alignment horizontal="center" vertical="center" wrapText="1"/>
    </xf>
    <xf numFmtId="0" fontId="2" fillId="3" borderId="2" xfId="2" applyBorder="1"/>
    <xf numFmtId="0" fontId="4" fillId="0" borderId="0" xfId="0" applyFont="1" applyAlignment="1">
      <alignment horizontal="center"/>
    </xf>
    <xf numFmtId="0" fontId="1" fillId="2" borderId="3" xfId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3" fillId="4" borderId="3" xfId="3" applyBorder="1" applyAlignment="1">
      <alignment horizontal="center" vertical="center" wrapText="1"/>
    </xf>
    <xf numFmtId="0" fontId="2" fillId="3" borderId="3" xfId="2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3" fillId="4" borderId="2" xfId="3" applyBorder="1" applyAlignment="1">
      <alignment horizontal="center"/>
    </xf>
    <xf numFmtId="0" fontId="6" fillId="0" borderId="0" xfId="0" applyFont="1"/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F031-57C5-40AA-AE7F-06081D4B08F0}">
  <sheetPr>
    <pageSetUpPr fitToPage="1"/>
  </sheetPr>
  <dimension ref="A1:I27"/>
  <sheetViews>
    <sheetView tabSelected="1" workbookViewId="0">
      <selection activeCell="I16" sqref="I16"/>
    </sheetView>
  </sheetViews>
  <sheetFormatPr baseColWidth="10" defaultRowHeight="15" x14ac:dyDescent="0.25"/>
  <cols>
    <col min="1" max="2" width="22.28515625" customWidth="1"/>
    <col min="3" max="3" width="39" customWidth="1"/>
    <col min="4" max="4" width="24.5703125" customWidth="1"/>
    <col min="6" max="6" width="27.7109375" customWidth="1"/>
    <col min="7" max="7" width="28.5703125" customWidth="1"/>
    <col min="8" max="8" width="18.140625" customWidth="1"/>
    <col min="9" max="9" width="22.42578125" customWidth="1"/>
  </cols>
  <sheetData>
    <row r="1" spans="1:9" x14ac:dyDescent="0.25">
      <c r="A1" s="12" t="s">
        <v>55</v>
      </c>
      <c r="B1" s="12" t="s">
        <v>28</v>
      </c>
      <c r="C1" s="12" t="s">
        <v>22</v>
      </c>
      <c r="D1" s="12" t="s">
        <v>24</v>
      </c>
      <c r="E1" s="12" t="s">
        <v>25</v>
      </c>
      <c r="F1" s="12" t="s">
        <v>58</v>
      </c>
      <c r="G1" s="18" t="s">
        <v>59</v>
      </c>
      <c r="H1" s="12" t="s">
        <v>57</v>
      </c>
      <c r="I1" s="12" t="s">
        <v>27</v>
      </c>
    </row>
    <row r="2" spans="1:9" ht="15.75" thickBot="1" x14ac:dyDescent="0.3">
      <c r="A2" s="1" t="s">
        <v>23</v>
      </c>
      <c r="B2" s="3" t="s">
        <v>29</v>
      </c>
      <c r="C2" s="4" t="s">
        <v>0</v>
      </c>
      <c r="D2" s="4">
        <v>1397</v>
      </c>
      <c r="E2" s="7">
        <v>800</v>
      </c>
      <c r="F2" s="8" t="str">
        <f>"#SO"&amp;TEXT(B2,"00")&amp;TEXT(D2,"0000")</f>
        <v>#SO011397</v>
      </c>
      <c r="G2" s="19" t="str">
        <f>"#SC"&amp;TEXT(B2,"00")&amp;TEXT(E2,"0000")</f>
        <v>#SC010800</v>
      </c>
      <c r="H2" s="22" t="str">
        <f>":MV"&amp;TEXT(B2,"00")&amp;TEXT(D2,"0000")</f>
        <v>:MV011397</v>
      </c>
      <c r="I2" s="22" t="str">
        <f>":MV"&amp;TEXT(B2,"00")&amp;TEXT(E2,"0000")</f>
        <v>:MV010800</v>
      </c>
    </row>
    <row r="3" spans="1:9" ht="15.75" thickBot="1" x14ac:dyDescent="0.3">
      <c r="A3" s="1" t="s">
        <v>1</v>
      </c>
      <c r="B3" s="3" t="s">
        <v>30</v>
      </c>
      <c r="C3" s="4" t="s">
        <v>2</v>
      </c>
      <c r="D3" s="4">
        <v>868</v>
      </c>
      <c r="E3" s="7">
        <v>2170</v>
      </c>
      <c r="F3" s="8" t="str">
        <f>"#SO"&amp;TEXT(B3,"00")&amp;TEXT(D3,"0000")</f>
        <v>#SO020868</v>
      </c>
      <c r="G3" s="19" t="str">
        <f t="shared" ref="G3:G13" si="0">"#SC"&amp;TEXT(B3,"00")&amp;TEXT(E3,"0000")</f>
        <v>#SC022170</v>
      </c>
      <c r="H3" s="22" t="str">
        <f t="shared" ref="H3:H27" si="1">":MV"&amp;TEXT(B3,"00")&amp;TEXT(D3,"0000")</f>
        <v>:MV020868</v>
      </c>
      <c r="I3" s="22" t="str">
        <f t="shared" ref="I3:I27" si="2">":MV"&amp;TEXT(B3,"00")&amp;TEXT(E3,"0000")</f>
        <v>:MV022170</v>
      </c>
    </row>
    <row r="4" spans="1:9" ht="15.75" thickBot="1" x14ac:dyDescent="0.3">
      <c r="A4" s="1" t="s">
        <v>3</v>
      </c>
      <c r="B4" s="3" t="s">
        <v>31</v>
      </c>
      <c r="C4" s="4" t="s">
        <v>4</v>
      </c>
      <c r="D4" s="4">
        <v>850</v>
      </c>
      <c r="E4" s="7">
        <v>2200</v>
      </c>
      <c r="F4" s="8" t="str">
        <f t="shared" ref="F4:F13" si="3">"#SO"&amp;TEXT(B4,"00")&amp;TEXT(D4,"0000")</f>
        <v>#SO030850</v>
      </c>
      <c r="G4" s="19" t="str">
        <f t="shared" si="0"/>
        <v>#SC032200</v>
      </c>
      <c r="H4" s="22" t="str">
        <f t="shared" si="1"/>
        <v>:MV030850</v>
      </c>
      <c r="I4" s="22" t="str">
        <f t="shared" si="2"/>
        <v>:MV032200</v>
      </c>
    </row>
    <row r="5" spans="1:9" ht="15.75" thickBot="1" x14ac:dyDescent="0.3">
      <c r="A5" s="1" t="s">
        <v>5</v>
      </c>
      <c r="B5" s="3" t="s">
        <v>32</v>
      </c>
      <c r="C5" s="4" t="s">
        <v>6</v>
      </c>
      <c r="D5" s="4">
        <v>1700</v>
      </c>
      <c r="E5" s="7">
        <v>1112</v>
      </c>
      <c r="F5" s="8" t="str">
        <f t="shared" si="3"/>
        <v>#SO041700</v>
      </c>
      <c r="G5" s="19" t="str">
        <f t="shared" si="0"/>
        <v>#SC041112</v>
      </c>
      <c r="H5" s="22" t="str">
        <f t="shared" si="1"/>
        <v>:MV041700</v>
      </c>
      <c r="I5" s="22" t="str">
        <f t="shared" si="2"/>
        <v>:MV041112</v>
      </c>
    </row>
    <row r="6" spans="1:9" ht="15.75" thickBot="1" x14ac:dyDescent="0.3">
      <c r="A6" s="1" t="s">
        <v>7</v>
      </c>
      <c r="B6" s="3" t="s">
        <v>33</v>
      </c>
      <c r="C6" s="4" t="s">
        <v>8</v>
      </c>
      <c r="D6" s="4">
        <v>2100</v>
      </c>
      <c r="E6" s="7">
        <v>800</v>
      </c>
      <c r="F6" s="8" t="str">
        <f t="shared" si="3"/>
        <v>#SO052100</v>
      </c>
      <c r="G6" s="19" t="str">
        <f t="shared" si="0"/>
        <v>#SC050800</v>
      </c>
      <c r="H6" s="22" t="str">
        <f t="shared" si="1"/>
        <v>:MV052100</v>
      </c>
      <c r="I6" s="22" t="str">
        <f t="shared" si="2"/>
        <v>:MV050800</v>
      </c>
    </row>
    <row r="7" spans="1:9" ht="15.75" thickBot="1" x14ac:dyDescent="0.3">
      <c r="A7" s="1" t="s">
        <v>9</v>
      </c>
      <c r="B7" s="3" t="s">
        <v>34</v>
      </c>
      <c r="C7" s="4" t="s">
        <v>10</v>
      </c>
      <c r="D7" s="4">
        <v>800</v>
      </c>
      <c r="E7" s="7">
        <v>1000</v>
      </c>
      <c r="F7" s="8" t="str">
        <f t="shared" si="3"/>
        <v>#SO060800</v>
      </c>
      <c r="G7" s="19" t="str">
        <f t="shared" si="0"/>
        <v>#SC061000</v>
      </c>
      <c r="H7" s="22" t="str">
        <f t="shared" si="1"/>
        <v>:MV060800</v>
      </c>
      <c r="I7" s="22" t="str">
        <f t="shared" si="2"/>
        <v>:MV061000</v>
      </c>
    </row>
    <row r="8" spans="1:9" ht="15.75" thickBot="1" x14ac:dyDescent="0.3">
      <c r="A8" s="1" t="s">
        <v>11</v>
      </c>
      <c r="B8" s="3" t="s">
        <v>35</v>
      </c>
      <c r="C8" s="4" t="s">
        <v>12</v>
      </c>
      <c r="D8" s="4">
        <v>1441</v>
      </c>
      <c r="E8" s="7">
        <v>2018</v>
      </c>
      <c r="F8" s="8" t="str">
        <f t="shared" si="3"/>
        <v>#SO071441</v>
      </c>
      <c r="G8" s="19" t="str">
        <f t="shared" si="0"/>
        <v>#SC072018</v>
      </c>
      <c r="H8" s="22" t="str">
        <f t="shared" si="1"/>
        <v>:MV071441</v>
      </c>
      <c r="I8" s="22" t="str">
        <f t="shared" si="2"/>
        <v>:MV072018</v>
      </c>
    </row>
    <row r="9" spans="1:9" ht="15.75" thickBot="1" x14ac:dyDescent="0.3">
      <c r="A9" s="1" t="s">
        <v>13</v>
      </c>
      <c r="B9" s="3" t="s">
        <v>36</v>
      </c>
      <c r="C9" s="4" t="s">
        <v>14</v>
      </c>
      <c r="D9" s="4">
        <v>2186</v>
      </c>
      <c r="E9" s="7">
        <v>836</v>
      </c>
      <c r="F9" s="8" t="str">
        <f t="shared" si="3"/>
        <v>#SO082186</v>
      </c>
      <c r="G9" s="19" t="str">
        <f t="shared" si="0"/>
        <v>#SC080836</v>
      </c>
      <c r="H9" s="22" t="str">
        <f t="shared" si="1"/>
        <v>:MV082186</v>
      </c>
      <c r="I9" s="22" t="str">
        <f t="shared" si="2"/>
        <v>:MV080836</v>
      </c>
    </row>
    <row r="10" spans="1:9" ht="15.75" thickBot="1" x14ac:dyDescent="0.3">
      <c r="A10" s="1" t="s">
        <v>15</v>
      </c>
      <c r="B10" s="3" t="s">
        <v>37</v>
      </c>
      <c r="C10" s="4" t="s">
        <v>16</v>
      </c>
      <c r="D10" s="4">
        <v>1900</v>
      </c>
      <c r="E10" s="7">
        <v>800</v>
      </c>
      <c r="F10" s="8" t="str">
        <f t="shared" si="3"/>
        <v>#SO091900</v>
      </c>
      <c r="G10" s="19" t="str">
        <f t="shared" si="0"/>
        <v>#SC090800</v>
      </c>
      <c r="H10" s="22" t="str">
        <f t="shared" si="1"/>
        <v>:MV091900</v>
      </c>
      <c r="I10" s="22" t="str">
        <f t="shared" si="2"/>
        <v>:MV090800</v>
      </c>
    </row>
    <row r="11" spans="1:9" ht="15.75" thickBot="1" x14ac:dyDescent="0.3">
      <c r="A11" s="1" t="s">
        <v>17</v>
      </c>
      <c r="B11" s="3" t="s">
        <v>38</v>
      </c>
      <c r="C11" s="4" t="s">
        <v>18</v>
      </c>
      <c r="D11" s="4"/>
      <c r="E11" s="7"/>
      <c r="F11" s="8" t="str">
        <f t="shared" si="3"/>
        <v>#SO100000</v>
      </c>
      <c r="G11" s="19" t="str">
        <f t="shared" si="0"/>
        <v>#SC100000</v>
      </c>
      <c r="H11" s="22" t="str">
        <f t="shared" si="1"/>
        <v>:MV100000</v>
      </c>
      <c r="I11" s="22" t="str">
        <f t="shared" si="2"/>
        <v>:MV100000</v>
      </c>
    </row>
    <row r="12" spans="1:9" x14ac:dyDescent="0.25">
      <c r="A12" s="2" t="s">
        <v>19</v>
      </c>
      <c r="B12" s="3" t="s">
        <v>39</v>
      </c>
      <c r="C12" s="4" t="s">
        <v>20</v>
      </c>
      <c r="D12" s="4"/>
      <c r="E12" s="7"/>
      <c r="F12" s="8" t="str">
        <f t="shared" si="3"/>
        <v>#SO110000</v>
      </c>
      <c r="G12" s="19" t="str">
        <f t="shared" si="0"/>
        <v>#SC110000</v>
      </c>
      <c r="H12" s="22" t="str">
        <f t="shared" si="1"/>
        <v>:MV110000</v>
      </c>
      <c r="I12" s="22" t="str">
        <f t="shared" si="2"/>
        <v>:MV110000</v>
      </c>
    </row>
    <row r="13" spans="1:9" x14ac:dyDescent="0.25">
      <c r="A13" s="4" t="s">
        <v>21</v>
      </c>
      <c r="B13" s="4">
        <v>12</v>
      </c>
      <c r="C13" s="4" t="s">
        <v>20</v>
      </c>
      <c r="D13" s="4"/>
      <c r="E13" s="7"/>
      <c r="F13" s="8" t="str">
        <f t="shared" si="3"/>
        <v>#SO120000</v>
      </c>
      <c r="G13" s="19" t="str">
        <f t="shared" si="0"/>
        <v>#SC120000</v>
      </c>
      <c r="H13" s="22" t="str">
        <f t="shared" si="1"/>
        <v>:MV120000</v>
      </c>
      <c r="I13" s="22" t="str">
        <f t="shared" si="2"/>
        <v>:MV120000</v>
      </c>
    </row>
    <row r="14" spans="1:9" x14ac:dyDescent="0.25">
      <c r="A14" s="10"/>
      <c r="B14" s="10"/>
      <c r="C14" s="10"/>
      <c r="D14" s="10"/>
      <c r="E14" s="10"/>
      <c r="F14" s="10"/>
      <c r="G14" s="10"/>
      <c r="H14" s="22" t="str">
        <f t="shared" si="1"/>
        <v>:MV000000</v>
      </c>
      <c r="I14" s="22" t="str">
        <f t="shared" si="2"/>
        <v>:MV000000</v>
      </c>
    </row>
    <row r="15" spans="1:9" x14ac:dyDescent="0.25">
      <c r="A15" s="13" t="s">
        <v>56</v>
      </c>
      <c r="B15" s="14"/>
      <c r="C15" s="14"/>
      <c r="D15" s="23" t="s">
        <v>24</v>
      </c>
      <c r="E15" s="23" t="s">
        <v>25</v>
      </c>
      <c r="F15" s="13" t="s">
        <v>26</v>
      </c>
      <c r="G15" s="20" t="s">
        <v>27</v>
      </c>
      <c r="H15" s="20" t="s">
        <v>26</v>
      </c>
      <c r="I15" s="20" t="s">
        <v>27</v>
      </c>
    </row>
    <row r="16" spans="1:9" x14ac:dyDescent="0.25">
      <c r="A16" s="4" t="s">
        <v>23</v>
      </c>
      <c r="B16" s="11" t="s">
        <v>29</v>
      </c>
      <c r="C16" s="4" t="s">
        <v>40</v>
      </c>
      <c r="D16" s="6">
        <v>2100</v>
      </c>
      <c r="E16" s="6">
        <v>1600</v>
      </c>
      <c r="F16" s="8" t="str">
        <f>"#VO"&amp;"01"&amp;TEXT(D16,"0000")</f>
        <v>#VO012100</v>
      </c>
      <c r="G16" s="19" t="str">
        <f>"#VC"&amp;"01"&amp;TEXT(E16,"0000")</f>
        <v>#VC011600</v>
      </c>
      <c r="H16" s="22" t="str">
        <f>"*MV"&amp;"01"&amp;TEXT(D16,"0000")</f>
        <v>*MV012100</v>
      </c>
      <c r="I16" s="22" t="str">
        <f>"*MV"&amp;"01"&amp;TEXT(E16,"0000")</f>
        <v>*MV011600</v>
      </c>
    </row>
    <row r="17" spans="1:9" x14ac:dyDescent="0.25">
      <c r="A17" s="4" t="s">
        <v>1</v>
      </c>
      <c r="B17" s="11" t="s">
        <v>30</v>
      </c>
      <c r="C17" s="4" t="s">
        <v>41</v>
      </c>
      <c r="D17" s="6">
        <v>2000</v>
      </c>
      <c r="E17" s="6">
        <v>1450</v>
      </c>
      <c r="F17" s="8" t="str">
        <f>"#HO"&amp;"01"&amp;TEXT(D17,"0000")</f>
        <v>#HO012000</v>
      </c>
      <c r="G17" s="19" t="str">
        <f>"#HC"&amp;"01"&amp;TEXT(E17,"0000")</f>
        <v>#HC011450</v>
      </c>
      <c r="H17" s="22" t="str">
        <f>"*MH"&amp;"01"&amp;TEXT(D17,"0000")</f>
        <v>*MH012000</v>
      </c>
      <c r="I17" s="22" t="str">
        <f>"*MH"&amp;"01"&amp;TEXT(E17,"0000")</f>
        <v>*MH011450</v>
      </c>
    </row>
    <row r="18" spans="1:9" x14ac:dyDescent="0.25">
      <c r="A18" s="4" t="s">
        <v>3</v>
      </c>
      <c r="B18" s="11" t="s">
        <v>31</v>
      </c>
      <c r="C18" s="4" t="s">
        <v>42</v>
      </c>
      <c r="D18" s="6">
        <v>1700</v>
      </c>
      <c r="E18" s="6">
        <v>1200</v>
      </c>
      <c r="F18" s="8" t="str">
        <f>"#VO"&amp;"02"&amp;TEXT(D18,"0000")</f>
        <v>#VO021700</v>
      </c>
      <c r="G18" s="19" t="str">
        <f>"#VC"&amp;"02"&amp;TEXT(E18,"0000")</f>
        <v>#VC021200</v>
      </c>
      <c r="H18" s="22" t="str">
        <f>"*MV"&amp;"02"&amp;TEXT(D18,"0000")</f>
        <v>*MV021700</v>
      </c>
      <c r="I18" s="22" t="str">
        <f>"*MV"&amp;"02"&amp;TEXT(E18,"0000")</f>
        <v>*MV021200</v>
      </c>
    </row>
    <row r="19" spans="1:9" x14ac:dyDescent="0.25">
      <c r="A19" s="4" t="s">
        <v>5</v>
      </c>
      <c r="B19" s="11" t="s">
        <v>32</v>
      </c>
      <c r="C19" s="4" t="s">
        <v>43</v>
      </c>
      <c r="D19" s="6">
        <v>1800</v>
      </c>
      <c r="E19" s="6">
        <v>1300</v>
      </c>
      <c r="F19" s="8" t="str">
        <f>"#HO"&amp;"02"&amp;TEXT(D19,"0000")</f>
        <v>#HO021800</v>
      </c>
      <c r="G19" s="19" t="str">
        <f>"#HC"&amp;"02"&amp;TEXT(E19,"0000")</f>
        <v>#HC021300</v>
      </c>
      <c r="H19" s="22" t="str">
        <f>"*MH"&amp;"02"&amp;TEXT(D19,"0000")</f>
        <v>*MH021800</v>
      </c>
      <c r="I19" s="22" t="str">
        <f>"*MH"&amp;"02"&amp;TEXT(E19,"0000")</f>
        <v>*MH021300</v>
      </c>
    </row>
    <row r="20" spans="1:9" x14ac:dyDescent="0.25">
      <c r="A20" s="10"/>
      <c r="B20" s="10"/>
      <c r="C20" s="10"/>
      <c r="D20" s="10"/>
      <c r="E20" s="10"/>
      <c r="F20" s="10"/>
      <c r="G20" s="10"/>
      <c r="H20" s="22"/>
      <c r="I20" s="22"/>
    </row>
    <row r="21" spans="1:9" x14ac:dyDescent="0.25">
      <c r="A21" s="10"/>
      <c r="B21" s="10"/>
      <c r="C21" s="10"/>
      <c r="D21" s="10"/>
      <c r="E21" s="24"/>
      <c r="F21" s="10"/>
      <c r="G21" s="10"/>
      <c r="H21" s="22"/>
      <c r="I21" s="22"/>
    </row>
    <row r="22" spans="1:9" x14ac:dyDescent="0.25">
      <c r="A22" s="10"/>
      <c r="B22" s="10"/>
      <c r="C22" s="10"/>
      <c r="D22" s="10"/>
      <c r="E22" s="24"/>
      <c r="F22" s="10"/>
      <c r="G22" s="10"/>
      <c r="H22" s="22"/>
      <c r="I22" s="22"/>
    </row>
    <row r="23" spans="1:9" x14ac:dyDescent="0.25">
      <c r="A23" s="15" t="s">
        <v>47</v>
      </c>
      <c r="B23" s="16"/>
      <c r="C23" s="16"/>
      <c r="D23" s="15" t="s">
        <v>24</v>
      </c>
      <c r="E23" s="15" t="s">
        <v>25</v>
      </c>
      <c r="F23" s="15" t="s">
        <v>26</v>
      </c>
      <c r="G23" s="21" t="s">
        <v>27</v>
      </c>
      <c r="H23" s="21" t="s">
        <v>26</v>
      </c>
      <c r="I23" s="21" t="s">
        <v>27</v>
      </c>
    </row>
    <row r="24" spans="1:9" x14ac:dyDescent="0.25">
      <c r="A24" s="4" t="s">
        <v>52</v>
      </c>
      <c r="B24" s="11" t="s">
        <v>35</v>
      </c>
      <c r="C24" s="17" t="s">
        <v>48</v>
      </c>
      <c r="D24" s="6">
        <v>1525</v>
      </c>
      <c r="E24" s="6">
        <v>998</v>
      </c>
      <c r="F24" s="8" t="str">
        <f>"#SO"&amp;TEXT(B24,"00")&amp;TEXT(D24,"0000")</f>
        <v>#SO071525</v>
      </c>
      <c r="G24" s="19" t="str">
        <f t="shared" ref="G24:G26" si="4">"#SC"&amp;TEXT(B24,"00")&amp;TEXT(E24,"0000")</f>
        <v>#SC070998</v>
      </c>
      <c r="H24" s="22" t="str">
        <f t="shared" si="1"/>
        <v>:MV071525</v>
      </c>
      <c r="I24" s="22" t="str">
        <f t="shared" si="2"/>
        <v>:MV070998</v>
      </c>
    </row>
    <row r="25" spans="1:9" x14ac:dyDescent="0.25">
      <c r="A25" s="4" t="s">
        <v>53</v>
      </c>
      <c r="B25" s="11" t="s">
        <v>36</v>
      </c>
      <c r="C25" s="4" t="s">
        <v>49</v>
      </c>
      <c r="D25" s="6">
        <v>1432</v>
      </c>
      <c r="E25" s="6">
        <v>995</v>
      </c>
      <c r="F25" s="8" t="str">
        <f t="shared" ref="F25:F27" si="5">"#SO"&amp;TEXT(B25,"00")&amp;TEXT(D25,"0000")</f>
        <v>#SO081432</v>
      </c>
      <c r="G25" s="19" t="str">
        <f t="shared" si="4"/>
        <v>#SC080995</v>
      </c>
      <c r="H25" s="22" t="str">
        <f t="shared" si="1"/>
        <v>:MV081432</v>
      </c>
      <c r="I25" s="22" t="str">
        <f t="shared" si="2"/>
        <v>:MV080995</v>
      </c>
    </row>
    <row r="26" spans="1:9" x14ac:dyDescent="0.25">
      <c r="A26" s="4" t="s">
        <v>54</v>
      </c>
      <c r="B26" s="9" t="s">
        <v>37</v>
      </c>
      <c r="C26" s="4" t="s">
        <v>50</v>
      </c>
      <c r="D26" s="5">
        <v>1402</v>
      </c>
      <c r="E26" s="5">
        <v>892</v>
      </c>
      <c r="F26" s="8" t="str">
        <f t="shared" si="5"/>
        <v>#SO091402</v>
      </c>
      <c r="G26" s="19" t="str">
        <f t="shared" si="4"/>
        <v>#SC090892</v>
      </c>
      <c r="H26" s="22" t="str">
        <f t="shared" si="1"/>
        <v>:MV091402</v>
      </c>
      <c r="I26" s="22" t="str">
        <f t="shared" si="2"/>
        <v>:MV090892</v>
      </c>
    </row>
    <row r="27" spans="1:9" x14ac:dyDescent="0.25">
      <c r="A27" s="4" t="s">
        <v>17</v>
      </c>
      <c r="B27" s="9" t="s">
        <v>38</v>
      </c>
      <c r="C27" s="4" t="s">
        <v>51</v>
      </c>
      <c r="D27" s="5">
        <v>1476</v>
      </c>
      <c r="E27" s="5">
        <v>948</v>
      </c>
      <c r="F27" s="8" t="str">
        <f t="shared" si="5"/>
        <v>#SO101476</v>
      </c>
      <c r="G27" s="19" t="str">
        <f>"#SC"&amp;TEXT(B27,"00")&amp;TEXT(E27,"0000")</f>
        <v>#SC100948</v>
      </c>
      <c r="H27" s="22" t="str">
        <f t="shared" si="1"/>
        <v>:MV101476</v>
      </c>
      <c r="I27" s="22" t="str">
        <f t="shared" si="2"/>
        <v>:MV100948</v>
      </c>
    </row>
  </sheetData>
  <phoneticPr fontId="5" type="noConversion"/>
  <pageMargins left="0.7" right="0.7" top="0.75" bottom="0.75" header="0.3" footer="0.3"/>
  <pageSetup paperSize="9" scale="7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388E-7EAF-42C6-8DD1-FBED2C731C56}">
  <dimension ref="A1:E5"/>
  <sheetViews>
    <sheetView workbookViewId="0">
      <selection activeCell="H14" sqref="H14"/>
    </sheetView>
  </sheetViews>
  <sheetFormatPr baseColWidth="10" defaultRowHeight="15" x14ac:dyDescent="0.25"/>
  <cols>
    <col min="1" max="1" width="16.7109375" customWidth="1"/>
    <col min="2" max="2" width="3" bestFit="1" customWidth="1"/>
    <col min="3" max="3" width="28.85546875" customWidth="1"/>
  </cols>
  <sheetData>
    <row r="1" spans="1:5" ht="30" x14ac:dyDescent="0.25">
      <c r="A1" s="4" t="s">
        <v>44</v>
      </c>
      <c r="B1" s="5"/>
      <c r="C1" s="5"/>
      <c r="D1" s="5" t="s">
        <v>45</v>
      </c>
      <c r="E1" s="5" t="s">
        <v>46</v>
      </c>
    </row>
    <row r="2" spans="1:5" ht="45" x14ac:dyDescent="0.25">
      <c r="A2" s="4" t="s">
        <v>23</v>
      </c>
      <c r="B2" s="9" t="s">
        <v>29</v>
      </c>
      <c r="C2" s="4" t="s">
        <v>40</v>
      </c>
      <c r="D2" s="5"/>
      <c r="E2" s="5"/>
    </row>
    <row r="3" spans="1:5" ht="45" x14ac:dyDescent="0.25">
      <c r="A3" s="4" t="s">
        <v>1</v>
      </c>
      <c r="B3" s="9" t="s">
        <v>30</v>
      </c>
      <c r="C3" s="4" t="s">
        <v>41</v>
      </c>
      <c r="D3" s="5"/>
      <c r="E3" s="5"/>
    </row>
    <row r="4" spans="1:5" ht="30" x14ac:dyDescent="0.25">
      <c r="A4" s="4" t="s">
        <v>3</v>
      </c>
      <c r="B4" s="9" t="s">
        <v>31</v>
      </c>
      <c r="C4" s="4" t="s">
        <v>42</v>
      </c>
      <c r="D4" s="5"/>
      <c r="E4" s="5"/>
    </row>
    <row r="5" spans="1:5" ht="30" x14ac:dyDescent="0.25">
      <c r="A5" s="4" t="s">
        <v>5</v>
      </c>
      <c r="B5" s="9" t="s">
        <v>32</v>
      </c>
      <c r="C5" s="4" t="s">
        <v>43</v>
      </c>
      <c r="D5" s="5"/>
      <c r="E5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cp:lastPrinted>2026-01-02T17:19:58Z</cp:lastPrinted>
  <dcterms:created xsi:type="dcterms:W3CDTF">2026-01-02T12:01:01Z</dcterms:created>
  <dcterms:modified xsi:type="dcterms:W3CDTF">2026-03-21T18:30:35Z</dcterms:modified>
</cp:coreProperties>
</file>